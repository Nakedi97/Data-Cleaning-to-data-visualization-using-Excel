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Omphile\Desktop\Excel Projects\"/>
    </mc:Choice>
  </mc:AlternateContent>
  <xr:revisionPtr revIDLastSave="0" documentId="13_ncr:1_{8E2550BE-B724-489B-8332-F45A46079B50}" xr6:coauthVersionLast="47" xr6:coauthVersionMax="47" xr10:uidLastSave="{00000000-0000-0000-0000-000000000000}"/>
  <bookViews>
    <workbookView xWindow="21165" yWindow="480" windowWidth="27150" windowHeight="14955" activeTab="2" xr2:uid="{00000000-000D-0000-FFFF-FFFF00000000}"/>
  </bookViews>
  <sheets>
    <sheet name="bike_buyers" sheetId="1" r:id="rId1"/>
    <sheet name="Working Sheet" sheetId="5" r:id="rId2"/>
    <sheet name="Dashboard" sheetId="2" r:id="rId3"/>
    <sheet name="Pivot Table"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a="1"/>
  <c r="M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<sst xmlns="http://schemas.openxmlformats.org/spreadsheetml/2006/main" count="16267" uniqueCount="51">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</sst>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R&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[Clean,Create pivot Tables and a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Adolescence</c:v>
                </c:pt>
                <c:pt idx="1">
                  <c:v>Middle age</c:v>
                </c:pt>
                <c:pt idx="2">
                  <c:v>Old</c:v>
                </c:pt>
              </c:strCache>
            </c:strRef>
          </c:cat>
          <c:val>
            <c:numRef>
              <c:f>'Pivot Table'!$B$40:$B$43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31BE-43C3-9BA1-5341A952F34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Adolescence</c:v>
                </c:pt>
                <c:pt idx="1">
                  <c:v>Middle age</c:v>
                </c:pt>
                <c:pt idx="2">
                  <c:v>Old</c:v>
                </c:pt>
              </c:strCache>
            </c:strRef>
          </c:cat>
          <c:val>
            <c:numRef>
              <c:f>'Pivot Table'!$C$40:$C$43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31BE-43C3-9BA1-5341A952F348}"/>
            </c:ext>
          </c:extLst>
        </c:ser>
        <c:dLbls>
          <c:showLegendKey val="0"/>
          <c:showVal val="0"/>
          <c:showCatName val="0"/>
          <c:showSerName val="0"/>
          <c:showPercent val="0"/>
          <c:showBubbleSize val="0"/>
        </c:dLbls>
        <c:marker val="1"/>
        <c:smooth val="0"/>
        <c:axId val="1129551599"/>
        <c:axId val="1129557839"/>
      </c:lineChart>
      <c:catAx>
        <c:axId val="112955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57839"/>
        <c:crosses val="autoZero"/>
        <c:auto val="1"/>
        <c:lblAlgn val="ctr"/>
        <c:lblOffset val="100"/>
        <c:noMultiLvlLbl val="0"/>
      </c:catAx>
      <c:valAx>
        <c:axId val="112955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[Clean,Create pivot Tables and a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2EB-464F-8CD8-D49F6A8828C0}"/>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2EB-464F-8CD8-D49F6A8828C0}"/>
            </c:ext>
          </c:extLst>
        </c:ser>
        <c:dLbls>
          <c:showLegendKey val="0"/>
          <c:showVal val="0"/>
          <c:showCatName val="0"/>
          <c:showSerName val="0"/>
          <c:showPercent val="0"/>
          <c:showBubbleSize val="0"/>
        </c:dLbls>
        <c:smooth val="0"/>
        <c:axId val="1129583279"/>
        <c:axId val="1129583759"/>
      </c:lineChart>
      <c:catAx>
        <c:axId val="1129583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83759"/>
        <c:crosses val="autoZero"/>
        <c:auto val="1"/>
        <c:lblAlgn val="ctr"/>
        <c:lblOffset val="100"/>
        <c:noMultiLvlLbl val="0"/>
      </c:catAx>
      <c:valAx>
        <c:axId val="112958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8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[Clean,Create pivot Tables and a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 ##0</c:formatCode>
                <c:ptCount val="2"/>
                <c:pt idx="0">
                  <c:v>53440</c:v>
                </c:pt>
                <c:pt idx="1">
                  <c:v>56208.178438661707</c:v>
                </c:pt>
              </c:numCache>
            </c:numRef>
          </c:val>
          <c:extLst>
            <c:ext xmlns:c16="http://schemas.microsoft.com/office/drawing/2014/chart" uri="{C3380CC4-5D6E-409C-BE32-E72D297353CC}">
              <c16:uniqueId val="{00000000-496B-4EBC-8981-07AF04C1099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 ##0</c:formatCode>
                <c:ptCount val="2"/>
                <c:pt idx="0">
                  <c:v>55774.058577405856</c:v>
                </c:pt>
                <c:pt idx="1">
                  <c:v>60123.966942148763</c:v>
                </c:pt>
              </c:numCache>
            </c:numRef>
          </c:val>
          <c:extLst>
            <c:ext xmlns:c16="http://schemas.microsoft.com/office/drawing/2014/chart" uri="{C3380CC4-5D6E-409C-BE32-E72D297353CC}">
              <c16:uniqueId val="{00000001-496B-4EBC-8981-07AF04C10998}"/>
            </c:ext>
          </c:extLst>
        </c:ser>
        <c:dLbls>
          <c:showLegendKey val="0"/>
          <c:showVal val="0"/>
          <c:showCatName val="0"/>
          <c:showSerName val="0"/>
          <c:showPercent val="0"/>
          <c:showBubbleSize val="0"/>
        </c:dLbls>
        <c:gapWidth val="219"/>
        <c:overlap val="-27"/>
        <c:axId val="317109423"/>
        <c:axId val="317110383"/>
      </c:barChart>
      <c:catAx>
        <c:axId val="31710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10383"/>
        <c:crosses val="autoZero"/>
        <c:auto val="1"/>
        <c:lblAlgn val="ctr"/>
        <c:lblOffset val="100"/>
        <c:noMultiLvlLbl val="0"/>
      </c:catAx>
      <c:valAx>
        <c:axId val="31711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09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[Clean,Create pivot Tables and a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 ##0</c:formatCode>
                <c:ptCount val="2"/>
                <c:pt idx="0">
                  <c:v>53440</c:v>
                </c:pt>
                <c:pt idx="1">
                  <c:v>56208.178438661707</c:v>
                </c:pt>
              </c:numCache>
            </c:numRef>
          </c:val>
          <c:extLst>
            <c:ext xmlns:c16="http://schemas.microsoft.com/office/drawing/2014/chart" uri="{C3380CC4-5D6E-409C-BE32-E72D297353CC}">
              <c16:uniqueId val="{00000000-636B-4CB9-9647-A14E2B1AAE8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 ##0</c:formatCode>
                <c:ptCount val="2"/>
                <c:pt idx="0">
                  <c:v>55774.058577405856</c:v>
                </c:pt>
                <c:pt idx="1">
                  <c:v>60123.966942148763</c:v>
                </c:pt>
              </c:numCache>
            </c:numRef>
          </c:val>
          <c:extLst>
            <c:ext xmlns:c16="http://schemas.microsoft.com/office/drawing/2014/chart" uri="{C3380CC4-5D6E-409C-BE32-E72D297353CC}">
              <c16:uniqueId val="{00000001-636B-4CB9-9647-A14E2B1AAE8A}"/>
            </c:ext>
          </c:extLst>
        </c:ser>
        <c:dLbls>
          <c:showLegendKey val="0"/>
          <c:showVal val="0"/>
          <c:showCatName val="0"/>
          <c:showSerName val="0"/>
          <c:showPercent val="0"/>
          <c:showBubbleSize val="0"/>
        </c:dLbls>
        <c:gapWidth val="219"/>
        <c:overlap val="-27"/>
        <c:axId val="317109423"/>
        <c:axId val="317110383"/>
      </c:barChart>
      <c:catAx>
        <c:axId val="31710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10383"/>
        <c:crosses val="autoZero"/>
        <c:auto val="1"/>
        <c:lblAlgn val="ctr"/>
        <c:lblOffset val="100"/>
        <c:noMultiLvlLbl val="0"/>
      </c:catAx>
      <c:valAx>
        <c:axId val="31711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09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[Clean,Create pivot Tables and a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9A6-4746-B5D3-7FD82A9D8B41}"/>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9A6-4746-B5D3-7FD82A9D8B41}"/>
            </c:ext>
          </c:extLst>
        </c:ser>
        <c:dLbls>
          <c:showLegendKey val="0"/>
          <c:showVal val="0"/>
          <c:showCatName val="0"/>
          <c:showSerName val="0"/>
          <c:showPercent val="0"/>
          <c:showBubbleSize val="0"/>
        </c:dLbls>
        <c:smooth val="0"/>
        <c:axId val="1129583279"/>
        <c:axId val="1129583759"/>
      </c:lineChart>
      <c:catAx>
        <c:axId val="1129583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83759"/>
        <c:crosses val="autoZero"/>
        <c:auto val="1"/>
        <c:lblAlgn val="ctr"/>
        <c:lblOffset val="100"/>
        <c:noMultiLvlLbl val="0"/>
      </c:catAx>
      <c:valAx>
        <c:axId val="112958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8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[Clean,Create pivot Tables and a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Adolescence</c:v>
                </c:pt>
                <c:pt idx="1">
                  <c:v>Middle age</c:v>
                </c:pt>
                <c:pt idx="2">
                  <c:v>Old</c:v>
                </c:pt>
              </c:strCache>
            </c:strRef>
          </c:cat>
          <c:val>
            <c:numRef>
              <c:f>'Pivot Table'!$B$40:$B$43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B400-4FF9-A996-86E86E4B11CD}"/>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Adolescence</c:v>
                </c:pt>
                <c:pt idx="1">
                  <c:v>Middle age</c:v>
                </c:pt>
                <c:pt idx="2">
                  <c:v>Old</c:v>
                </c:pt>
              </c:strCache>
            </c:strRef>
          </c:cat>
          <c:val>
            <c:numRef>
              <c:f>'Pivot Table'!$C$40:$C$43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B400-4FF9-A996-86E86E4B11CD}"/>
            </c:ext>
          </c:extLst>
        </c:ser>
        <c:dLbls>
          <c:showLegendKey val="0"/>
          <c:showVal val="0"/>
          <c:showCatName val="0"/>
          <c:showSerName val="0"/>
          <c:showPercent val="0"/>
          <c:showBubbleSize val="0"/>
        </c:dLbls>
        <c:marker val="1"/>
        <c:smooth val="0"/>
        <c:axId val="1129551599"/>
        <c:axId val="1129557839"/>
      </c:lineChart>
      <c:catAx>
        <c:axId val="112955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57839"/>
        <c:crosses val="autoZero"/>
        <c:auto val="1"/>
        <c:lblAlgn val="ctr"/>
        <c:lblOffset val="100"/>
        <c:noMultiLvlLbl val="0"/>
      </c:catAx>
      <c:valAx>
        <c:axId val="112955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304800</xdr:colOff>
      <xdr:row>5</xdr:row>
      <xdr:rowOff>28575</xdr:rowOff>
    </xdr:from>
    <xdr:to>
      <xdr:col>17</xdr:col>
      <xdr:colOff>571500</xdr:colOff>
      <xdr:row>19</xdr:row>
      <xdr:rowOff>104775</xdr:rowOff>
    </xdr:to>
    <xdr:graphicFrame macro="">
      <xdr:nvGraphicFramePr>
        <xdr:cNvPr id="3" name="Chart 2">
          <a:extLst>
            <a:ext uri="{FF2B5EF4-FFF2-40B4-BE49-F238E27FC236}">
              <a16:creationId xmlns:a16="http://schemas.microsoft.com/office/drawing/2014/main" id="{2EF0318B-5997-4A13-9C10-A59375C73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152399</xdr:colOff>
      <xdr:row>19</xdr:row>
      <xdr:rowOff>133350</xdr:rowOff>
    </xdr:from>
    <xdr:to>
      <xdr:col>17</xdr:col>
      <xdr:colOff>485774</xdr:colOff>
      <xdr:row>34</xdr:row>
      <xdr:rowOff>19050</xdr:rowOff>
    </xdr:to>
    <xdr:graphicFrame macro="">
      <xdr:nvGraphicFramePr>
        <xdr:cNvPr id="5" name="Chart 4">
          <a:extLst>
            <a:ext uri="{FF2B5EF4-FFF2-40B4-BE49-F238E27FC236}">
              <a16:creationId xmlns:a16="http://schemas.microsoft.com/office/drawing/2014/main" id="{DEFFCE5D-68E4-4424-8C20-90778BD42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5</xdr:row>
      <xdr:rowOff>19050</xdr:rowOff>
    </xdr:from>
    <xdr:to>
      <xdr:col>10</xdr:col>
      <xdr:colOff>333375</xdr:colOff>
      <xdr:row>19</xdr:row>
      <xdr:rowOff>95250</xdr:rowOff>
    </xdr:to>
    <xdr:graphicFrame macro="">
      <xdr:nvGraphicFramePr>
        <xdr:cNvPr id="6" name="Chart 5">
          <a:extLst>
            <a:ext uri="{FF2B5EF4-FFF2-40B4-BE49-F238E27FC236}">
              <a16:creationId xmlns:a16="http://schemas.microsoft.com/office/drawing/2014/main" id="{35AB9085-4691-4C84-AF84-6BFD3E326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9526</xdr:rowOff>
    </xdr:from>
    <xdr:to>
      <xdr:col>3</xdr:col>
      <xdr:colOff>28574</xdr:colOff>
      <xdr:row>9</xdr:row>
      <xdr:rowOff>85726</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A3B51261-EB97-C1F7-9C42-AB8296E5B29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62026"/>
              <a:ext cx="1857374" cy="8382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57151</xdr:rowOff>
    </xdr:from>
    <xdr:to>
      <xdr:col>3</xdr:col>
      <xdr:colOff>47625</xdr:colOff>
      <xdr:row>17</xdr:row>
      <xdr:rowOff>171451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D7F782A1-4808-520F-B515-8F72DA193AB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771651"/>
              <a:ext cx="1876425" cy="16383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19051</xdr:rowOff>
    </xdr:from>
    <xdr:to>
      <xdr:col>3</xdr:col>
      <xdr:colOff>9524</xdr:colOff>
      <xdr:row>27</xdr:row>
      <xdr:rowOff>38101</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4FF05551-7466-81D7-33B5-A55B250625C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448051"/>
              <a:ext cx="1838324" cy="17335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161925</xdr:rowOff>
    </xdr:from>
    <xdr:to>
      <xdr:col>3</xdr:col>
      <xdr:colOff>0</xdr:colOff>
      <xdr:row>34</xdr:row>
      <xdr:rowOff>57150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2E3217A7-0F68-6F6A-2C8D-0AE332261B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114925"/>
              <a:ext cx="1828800" cy="14192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385762</xdr:colOff>
      <xdr:row>1</xdr:row>
      <xdr:rowOff>9525</xdr:rowOff>
    </xdr:from>
    <xdr:to>
      <xdr:col>12</xdr:col>
      <xdr:colOff>80962</xdr:colOff>
      <xdr:row>15</xdr:row>
      <xdr:rowOff>85725</xdr:rowOff>
    </xdr:to>
    <xdr:graphicFrame macro="">
      <xdr:nvGraphicFramePr>
        <xdr:cNvPr id="2" name="Chart 1">
          <a:extLst>
            <a:ext uri="{FF2B5EF4-FFF2-40B4-BE49-F238E27FC236}">
              <a16:creationId xmlns:a16="http://schemas.microsoft.com/office/drawing/2014/main" id="{B1BC1A7E-2F0D-4697-2824-059856D4E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581026</xdr:colOff>
      <xdr:row>16</xdr:row>
      <xdr:rowOff>142875</xdr:rowOff>
    </xdr:from>
    <xdr:to>
      <xdr:col>12</xdr:col>
      <xdr:colOff>423862</xdr:colOff>
      <xdr:row>31</xdr:row>
      <xdr:rowOff>28575</xdr:rowOff>
    </xdr:to>
    <xdr:graphicFrame macro="">
      <xdr:nvGraphicFramePr>
        <xdr:cNvPr id="3" name="Chart 2">
          <a:extLst>
            <a:ext uri="{FF2B5EF4-FFF2-40B4-BE49-F238E27FC236}">
              <a16:creationId xmlns:a16="http://schemas.microsoft.com/office/drawing/2014/main" id="{152739C1-EF07-E5D4-C2A4-4EB3B686F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xdr:colOff>
      <xdr:row>33</xdr:row>
      <xdr:rowOff>171450</xdr:rowOff>
    </xdr:from>
    <xdr:to>
      <xdr:col>13</xdr:col>
      <xdr:colOff>309562</xdr:colOff>
      <xdr:row>48</xdr:row>
      <xdr:rowOff>57150</xdr:rowOff>
    </xdr:to>
    <xdr:graphicFrame macro="">
      <xdr:nvGraphicFramePr>
        <xdr:cNvPr id="4" name="Chart 3">
          <a:extLst>
            <a:ext uri="{FF2B5EF4-FFF2-40B4-BE49-F238E27FC236}">
              <a16:creationId xmlns:a16="http://schemas.microsoft.com/office/drawing/2014/main" id="{20A59079-6774-4272-7099-AB8424601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phile" refreshedDate="46044.593021527777" createdVersion="8" refreshedVersion="8" minRefreshableVersion="3" recordCount="1000" xr:uid="{DA5F0EFF-0235-4F87-BDDE-6200402BC8B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135894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1"/>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784A0-2386-4CF0-B5DD-F5EFFDB49EE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pivotField showAll="0"/>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F28597-A911-4875-ADC3-0D820EE5E899}"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pivotField showAll="0"/>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4B26E1-5465-42C1-B729-2377BFF2A5D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85C57C-5B56-4B5D-9DFF-00E2431DD5B2}" sourceName="Marital Status">
  <pivotTables>
    <pivotTable tabId="3" name="PivotTable1"/>
  </pivotTables>
  <data>
    <tabular pivotCacheId="11358948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05F8184-B7CD-4DF5-8EA7-33D342A958ED}" sourceName="Education">
  <pivotTables>
    <pivotTable tabId="3" name="PivotTable1"/>
    <pivotTable tabId="3" name="PivotTable2"/>
    <pivotTable tabId="3" name="PivotTable3"/>
  </pivotTables>
  <data>
    <tabular pivotCacheId="11358948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68AFE6B-2C73-4165-8E16-07BA81C98FE6}" sourceName="Occupation">
  <pivotTables>
    <pivotTable tabId="3" name="PivotTable1"/>
    <pivotTable tabId="3" name="PivotTable2"/>
    <pivotTable tabId="3" name="PivotTable3"/>
  </pivotTables>
  <data>
    <tabular pivotCacheId="1135894810">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5E9D82-4430-4FB3-9768-3CCC9B3B9C5B}" sourceName="Region">
  <pivotTables>
    <pivotTable tabId="3" name="PivotTable1"/>
    <pivotTable tabId="3" name="PivotTable2"/>
    <pivotTable tabId="3" name="PivotTable3"/>
  </pivotTables>
  <data>
    <tabular pivotCacheId="11358948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4F46B16-ED6A-4CA9-8C51-F4D1F90510C2}" cache="Slicer_Marital_Status" caption="Marital Status" rowHeight="241300"/>
  <slicer name="Education" xr10:uid="{1468F448-D643-4AF4-9BB7-5572B3F78A27}" cache="Slicer_Education" caption="Education" rowHeight="241300"/>
  <slicer name="Occupation" xr10:uid="{47E18779-1B63-47E1-8C3E-F07ADBC2C75E}" cache="Slicer_Occupation" caption="Occupation" rowHeight="241300"/>
  <slicer name="Region" xr10:uid="{B0449FCB-1922-45F6-8A27-1C25196B395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A03EF-3288-48B7-B5BC-BFA0DF964DF0}">
  <dimension ref="A1:N1001"/>
  <sheetViews>
    <sheetView topLeftCell="C1" workbookViewId="0">
      <selection activeCell="J1" sqref="J1:J1048576"/>
    </sheetView>
  </sheetViews>
  <sheetFormatPr defaultColWidth="19" defaultRowHeight="15" x14ac:dyDescent="0.25"/>
  <cols>
    <col min="2" max="2" width="19.5703125" customWidth="1"/>
    <col min="4" max="4" width="19" style="3"/>
    <col min="13" max="13" width="46.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cm="1">
        <f t="array" ref="M2:M1001">IF(L2:L1001&gt;=54,"Old",IF(L2:L1001&gt;=31,"Middle age",IF(L2:L1001&lt;31,"Adolescence","Invalid")))</f>
        <v>Middle age</v>
      </c>
      <c r="N2" t="s">
        <v>18</v>
      </c>
    </row>
    <row r="3" spans="1:14" x14ac:dyDescent="0.25">
      <c r="A3">
        <v>24107</v>
      </c>
      <c r="B3" t="s">
        <v>36</v>
      </c>
      <c r="C3" t="s">
        <v>38</v>
      </c>
      <c r="D3" s="3">
        <v>30000</v>
      </c>
      <c r="E3">
        <v>3</v>
      </c>
      <c r="F3" t="s">
        <v>19</v>
      </c>
      <c r="G3" t="s">
        <v>20</v>
      </c>
      <c r="H3" t="s">
        <v>15</v>
      </c>
      <c r="I3">
        <v>1</v>
      </c>
      <c r="J3" t="s">
        <v>16</v>
      </c>
      <c r="K3" t="s">
        <v>17</v>
      </c>
      <c r="L3">
        <v>43</v>
      </c>
      <c r="M3" t="str">
        <v>Middle age</v>
      </c>
      <c r="N3" t="s">
        <v>18</v>
      </c>
    </row>
    <row r="4" spans="1:14" x14ac:dyDescent="0.25">
      <c r="A4">
        <v>14177</v>
      </c>
      <c r="B4" t="s">
        <v>36</v>
      </c>
      <c r="C4" t="s">
        <v>38</v>
      </c>
      <c r="D4" s="3">
        <v>80000</v>
      </c>
      <c r="E4">
        <v>5</v>
      </c>
      <c r="F4" t="s">
        <v>19</v>
      </c>
      <c r="G4" t="s">
        <v>21</v>
      </c>
      <c r="H4" t="s">
        <v>18</v>
      </c>
      <c r="I4">
        <v>2</v>
      </c>
      <c r="J4" t="s">
        <v>22</v>
      </c>
      <c r="K4" t="s">
        <v>17</v>
      </c>
      <c r="L4">
        <v>60</v>
      </c>
      <c r="M4" t="str">
        <v>Old</v>
      </c>
      <c r="N4" t="s">
        <v>18</v>
      </c>
    </row>
    <row r="5" spans="1:14" x14ac:dyDescent="0.25">
      <c r="A5">
        <v>24381</v>
      </c>
      <c r="B5" t="s">
        <v>37</v>
      </c>
      <c r="C5" t="s">
        <v>38</v>
      </c>
      <c r="D5" s="3">
        <v>70000</v>
      </c>
      <c r="E5">
        <v>0</v>
      </c>
      <c r="F5" t="s">
        <v>13</v>
      </c>
      <c r="G5" t="s">
        <v>21</v>
      </c>
      <c r="H5" t="s">
        <v>15</v>
      </c>
      <c r="I5">
        <v>1</v>
      </c>
      <c r="J5" t="s">
        <v>23</v>
      </c>
      <c r="K5" t="s">
        <v>24</v>
      </c>
      <c r="L5">
        <v>41</v>
      </c>
      <c r="M5" t="str">
        <v>Middle age</v>
      </c>
      <c r="N5" t="s">
        <v>15</v>
      </c>
    </row>
    <row r="6" spans="1:14" x14ac:dyDescent="0.25">
      <c r="A6">
        <v>25597</v>
      </c>
      <c r="B6" t="s">
        <v>37</v>
      </c>
      <c r="C6" t="s">
        <v>38</v>
      </c>
      <c r="D6" s="3">
        <v>30000</v>
      </c>
      <c r="E6">
        <v>0</v>
      </c>
      <c r="F6" t="s">
        <v>13</v>
      </c>
      <c r="G6" t="s">
        <v>20</v>
      </c>
      <c r="H6" t="s">
        <v>18</v>
      </c>
      <c r="I6">
        <v>0</v>
      </c>
      <c r="J6" t="s">
        <v>16</v>
      </c>
      <c r="K6" t="s">
        <v>17</v>
      </c>
      <c r="L6">
        <v>36</v>
      </c>
      <c r="M6" t="str">
        <v>Middle age</v>
      </c>
      <c r="N6" t="s">
        <v>15</v>
      </c>
    </row>
    <row r="7" spans="1:14" x14ac:dyDescent="0.25">
      <c r="A7">
        <v>13507</v>
      </c>
      <c r="B7" t="s">
        <v>36</v>
      </c>
      <c r="C7" t="s">
        <v>39</v>
      </c>
      <c r="D7" s="3">
        <v>10000</v>
      </c>
      <c r="E7">
        <v>2</v>
      </c>
      <c r="F7" t="s">
        <v>19</v>
      </c>
      <c r="G7" t="s">
        <v>25</v>
      </c>
      <c r="H7" t="s">
        <v>15</v>
      </c>
      <c r="I7">
        <v>0</v>
      </c>
      <c r="J7" t="s">
        <v>26</v>
      </c>
      <c r="K7" t="s">
        <v>17</v>
      </c>
      <c r="L7">
        <v>50</v>
      </c>
      <c r="M7" t="str">
        <v>Middle age</v>
      </c>
      <c r="N7" t="s">
        <v>18</v>
      </c>
    </row>
    <row r="8" spans="1:14" x14ac:dyDescent="0.25">
      <c r="A8">
        <v>27974</v>
      </c>
      <c r="B8" t="s">
        <v>37</v>
      </c>
      <c r="C8" t="s">
        <v>38</v>
      </c>
      <c r="D8" s="3">
        <v>160000</v>
      </c>
      <c r="E8">
        <v>2</v>
      </c>
      <c r="F8" t="s">
        <v>27</v>
      </c>
      <c r="G8" t="s">
        <v>28</v>
      </c>
      <c r="H8" t="s">
        <v>15</v>
      </c>
      <c r="I8">
        <v>4</v>
      </c>
      <c r="J8" t="s">
        <v>16</v>
      </c>
      <c r="K8" t="s">
        <v>24</v>
      </c>
      <c r="L8">
        <v>33</v>
      </c>
      <c r="M8" t="str">
        <v>Middle age</v>
      </c>
      <c r="N8" t="s">
        <v>15</v>
      </c>
    </row>
    <row r="9" spans="1:14" x14ac:dyDescent="0.25">
      <c r="A9">
        <v>19364</v>
      </c>
      <c r="B9" t="s">
        <v>36</v>
      </c>
      <c r="C9" t="s">
        <v>38</v>
      </c>
      <c r="D9" s="3">
        <v>40000</v>
      </c>
      <c r="E9">
        <v>1</v>
      </c>
      <c r="F9" t="s">
        <v>13</v>
      </c>
      <c r="G9" t="s">
        <v>14</v>
      </c>
      <c r="H9" t="s">
        <v>15</v>
      </c>
      <c r="I9">
        <v>0</v>
      </c>
      <c r="J9" t="s">
        <v>16</v>
      </c>
      <c r="K9" t="s">
        <v>17</v>
      </c>
      <c r="L9">
        <v>43</v>
      </c>
      <c r="M9" t="str">
        <v>Middle age</v>
      </c>
      <c r="N9" t="s">
        <v>15</v>
      </c>
    </row>
    <row r="10" spans="1:14" x14ac:dyDescent="0.25">
      <c r="A10">
        <v>22155</v>
      </c>
      <c r="B10" t="s">
        <v>36</v>
      </c>
      <c r="C10" t="s">
        <v>38</v>
      </c>
      <c r="D10" s="3">
        <v>20000</v>
      </c>
      <c r="E10">
        <v>2</v>
      </c>
      <c r="F10" t="s">
        <v>29</v>
      </c>
      <c r="G10" t="s">
        <v>20</v>
      </c>
      <c r="H10" t="s">
        <v>15</v>
      </c>
      <c r="I10">
        <v>2</v>
      </c>
      <c r="J10" t="s">
        <v>23</v>
      </c>
      <c r="K10" t="s">
        <v>24</v>
      </c>
      <c r="L10">
        <v>58</v>
      </c>
      <c r="M10" t="str">
        <v>Old</v>
      </c>
      <c r="N10" t="s">
        <v>18</v>
      </c>
    </row>
    <row r="11" spans="1:14" x14ac:dyDescent="0.25">
      <c r="A11">
        <v>19280</v>
      </c>
      <c r="B11" t="s">
        <v>36</v>
      </c>
      <c r="C11" t="s">
        <v>38</v>
      </c>
      <c r="D11" s="3">
        <v>120000</v>
      </c>
      <c r="E11">
        <v>2</v>
      </c>
      <c r="F11" t="s">
        <v>19</v>
      </c>
      <c r="G11" t="s">
        <v>25</v>
      </c>
      <c r="H11" t="s">
        <v>15</v>
      </c>
      <c r="I11">
        <v>1</v>
      </c>
      <c r="J11" t="s">
        <v>16</v>
      </c>
      <c r="K11" t="s">
        <v>17</v>
      </c>
      <c r="L11">
        <v>40</v>
      </c>
      <c r="M11" t="str">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v>Old</v>
      </c>
      <c r="N12" t="s">
        <v>15</v>
      </c>
    </row>
    <row r="13" spans="1:14" x14ac:dyDescent="0.25">
      <c r="A13">
        <v>12697</v>
      </c>
      <c r="B13" t="s">
        <v>37</v>
      </c>
      <c r="C13" t="s">
        <v>39</v>
      </c>
      <c r="D13" s="3">
        <v>90000</v>
      </c>
      <c r="E13">
        <v>0</v>
      </c>
      <c r="F13" t="s">
        <v>13</v>
      </c>
      <c r="G13" t="s">
        <v>21</v>
      </c>
      <c r="H13" t="s">
        <v>18</v>
      </c>
      <c r="I13">
        <v>4</v>
      </c>
      <c r="J13" t="s">
        <v>46</v>
      </c>
      <c r="K13" t="s">
        <v>24</v>
      </c>
      <c r="L13">
        <v>36</v>
      </c>
      <c r="M13" t="str">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v>Old</v>
      </c>
      <c r="N14" t="s">
        <v>18</v>
      </c>
    </row>
    <row r="15" spans="1:14" x14ac:dyDescent="0.25">
      <c r="A15">
        <v>25323</v>
      </c>
      <c r="B15" t="s">
        <v>36</v>
      </c>
      <c r="C15" t="s">
        <v>38</v>
      </c>
      <c r="D15" s="3">
        <v>40000</v>
      </c>
      <c r="E15">
        <v>2</v>
      </c>
      <c r="F15" t="s">
        <v>19</v>
      </c>
      <c r="G15" t="s">
        <v>20</v>
      </c>
      <c r="H15" t="s">
        <v>15</v>
      </c>
      <c r="I15">
        <v>1</v>
      </c>
      <c r="J15" t="s">
        <v>26</v>
      </c>
      <c r="K15" t="s">
        <v>17</v>
      </c>
      <c r="L15">
        <v>35</v>
      </c>
      <c r="M15" t="str">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v>Old</v>
      </c>
      <c r="N18" t="s">
        <v>15</v>
      </c>
    </row>
    <row r="19" spans="1:14" x14ac:dyDescent="0.25">
      <c r="A19">
        <v>12610</v>
      </c>
      <c r="B19" t="s">
        <v>36</v>
      </c>
      <c r="C19" t="s">
        <v>39</v>
      </c>
      <c r="D19" s="3">
        <v>30000</v>
      </c>
      <c r="E19">
        <v>1</v>
      </c>
      <c r="F19" t="s">
        <v>13</v>
      </c>
      <c r="G19" t="s">
        <v>20</v>
      </c>
      <c r="H19" t="s">
        <v>15</v>
      </c>
      <c r="I19">
        <v>0</v>
      </c>
      <c r="J19" t="s">
        <v>16</v>
      </c>
      <c r="K19" t="s">
        <v>17</v>
      </c>
      <c r="L19">
        <v>47</v>
      </c>
      <c r="M19" t="str">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v>Old</v>
      </c>
      <c r="N21" t="s">
        <v>15</v>
      </c>
    </row>
    <row r="22" spans="1:14" x14ac:dyDescent="0.25">
      <c r="A22">
        <v>25598</v>
      </c>
      <c r="B22" t="s">
        <v>36</v>
      </c>
      <c r="C22" t="s">
        <v>39</v>
      </c>
      <c r="D22" s="3">
        <v>40000</v>
      </c>
      <c r="E22">
        <v>0</v>
      </c>
      <c r="F22" t="s">
        <v>31</v>
      </c>
      <c r="G22" t="s">
        <v>20</v>
      </c>
      <c r="H22" t="s">
        <v>15</v>
      </c>
      <c r="I22">
        <v>0</v>
      </c>
      <c r="J22" t="s">
        <v>16</v>
      </c>
      <c r="K22" t="s">
        <v>17</v>
      </c>
      <c r="L22">
        <v>36</v>
      </c>
      <c r="M22" t="str">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v>Old</v>
      </c>
      <c r="N25" t="s">
        <v>18</v>
      </c>
    </row>
    <row r="26" spans="1:14" x14ac:dyDescent="0.25">
      <c r="A26">
        <v>27184</v>
      </c>
      <c r="B26" t="s">
        <v>37</v>
      </c>
      <c r="C26" t="s">
        <v>38</v>
      </c>
      <c r="D26" s="3">
        <v>40000</v>
      </c>
      <c r="E26">
        <v>2</v>
      </c>
      <c r="F26" t="s">
        <v>19</v>
      </c>
      <c r="G26" t="s">
        <v>20</v>
      </c>
      <c r="H26" t="s">
        <v>18</v>
      </c>
      <c r="I26">
        <v>1</v>
      </c>
      <c r="J26" t="s">
        <v>16</v>
      </c>
      <c r="K26" t="s">
        <v>17</v>
      </c>
      <c r="L26">
        <v>34</v>
      </c>
      <c r="M26" t="str">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v>Old</v>
      </c>
      <c r="N27" t="s">
        <v>18</v>
      </c>
    </row>
    <row r="28" spans="1:14" x14ac:dyDescent="0.25">
      <c r="A28">
        <v>17841</v>
      </c>
      <c r="B28" t="s">
        <v>37</v>
      </c>
      <c r="C28" t="s">
        <v>38</v>
      </c>
      <c r="D28" s="3">
        <v>30000</v>
      </c>
      <c r="E28">
        <v>0</v>
      </c>
      <c r="F28" t="s">
        <v>19</v>
      </c>
      <c r="G28" t="s">
        <v>20</v>
      </c>
      <c r="H28" t="s">
        <v>18</v>
      </c>
      <c r="I28">
        <v>1</v>
      </c>
      <c r="J28" t="s">
        <v>16</v>
      </c>
      <c r="K28" t="s">
        <v>17</v>
      </c>
      <c r="L28">
        <v>29</v>
      </c>
      <c r="M28" t="str">
        <v>Adolescence</v>
      </c>
      <c r="N28" t="s">
        <v>15</v>
      </c>
    </row>
    <row r="29" spans="1:14" x14ac:dyDescent="0.25">
      <c r="A29">
        <v>18283</v>
      </c>
      <c r="B29" t="s">
        <v>37</v>
      </c>
      <c r="C29" t="s">
        <v>39</v>
      </c>
      <c r="D29" s="3">
        <v>100000</v>
      </c>
      <c r="E29">
        <v>0</v>
      </c>
      <c r="F29" t="s">
        <v>13</v>
      </c>
      <c r="G29" t="s">
        <v>21</v>
      </c>
      <c r="H29" t="s">
        <v>18</v>
      </c>
      <c r="I29">
        <v>1</v>
      </c>
      <c r="J29" t="s">
        <v>23</v>
      </c>
      <c r="K29" t="s">
        <v>24</v>
      </c>
      <c r="L29">
        <v>40</v>
      </c>
      <c r="M29" t="str">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v>Old</v>
      </c>
      <c r="N32" t="s">
        <v>18</v>
      </c>
    </row>
    <row r="33" spans="1:14" x14ac:dyDescent="0.25">
      <c r="A33">
        <v>22400</v>
      </c>
      <c r="B33" t="s">
        <v>36</v>
      </c>
      <c r="C33" t="s">
        <v>38</v>
      </c>
      <c r="D33" s="3">
        <v>10000</v>
      </c>
      <c r="E33">
        <v>0</v>
      </c>
      <c r="F33" t="s">
        <v>19</v>
      </c>
      <c r="G33" t="s">
        <v>25</v>
      </c>
      <c r="H33" t="s">
        <v>18</v>
      </c>
      <c r="I33">
        <v>1</v>
      </c>
      <c r="J33" t="s">
        <v>16</v>
      </c>
      <c r="K33" t="s">
        <v>24</v>
      </c>
      <c r="L33">
        <v>26</v>
      </c>
      <c r="M33" t="str">
        <v>Adolescence</v>
      </c>
      <c r="N33" t="s">
        <v>15</v>
      </c>
    </row>
    <row r="34" spans="1:14" x14ac:dyDescent="0.25">
      <c r="A34">
        <v>20942</v>
      </c>
      <c r="B34" t="s">
        <v>37</v>
      </c>
      <c r="C34" t="s">
        <v>39</v>
      </c>
      <c r="D34" s="3">
        <v>20000</v>
      </c>
      <c r="E34">
        <v>0</v>
      </c>
      <c r="F34" t="s">
        <v>27</v>
      </c>
      <c r="G34" t="s">
        <v>25</v>
      </c>
      <c r="H34" t="s">
        <v>18</v>
      </c>
      <c r="I34">
        <v>1</v>
      </c>
      <c r="J34" t="s">
        <v>23</v>
      </c>
      <c r="K34" t="s">
        <v>17</v>
      </c>
      <c r="L34">
        <v>31</v>
      </c>
      <c r="M34" t="str">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v>Old</v>
      </c>
      <c r="N36" t="s">
        <v>15</v>
      </c>
    </row>
    <row r="37" spans="1:14" x14ac:dyDescent="0.25">
      <c r="A37">
        <v>28380</v>
      </c>
      <c r="B37" t="s">
        <v>37</v>
      </c>
      <c r="C37" t="s">
        <v>39</v>
      </c>
      <c r="D37" s="3">
        <v>10000</v>
      </c>
      <c r="E37">
        <v>5</v>
      </c>
      <c r="F37" t="s">
        <v>29</v>
      </c>
      <c r="G37" t="s">
        <v>25</v>
      </c>
      <c r="H37" t="s">
        <v>18</v>
      </c>
      <c r="I37">
        <v>2</v>
      </c>
      <c r="J37" t="s">
        <v>16</v>
      </c>
      <c r="K37" t="s">
        <v>17</v>
      </c>
      <c r="L37">
        <v>41</v>
      </c>
      <c r="M37" t="str">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v>Adolescence</v>
      </c>
      <c r="N39" t="s">
        <v>18</v>
      </c>
    </row>
    <row r="40" spans="1:14" x14ac:dyDescent="0.25">
      <c r="A40">
        <v>26863</v>
      </c>
      <c r="B40" t="s">
        <v>37</v>
      </c>
      <c r="C40" t="s">
        <v>38</v>
      </c>
      <c r="D40" s="3">
        <v>20000</v>
      </c>
      <c r="E40">
        <v>0</v>
      </c>
      <c r="F40" t="s">
        <v>27</v>
      </c>
      <c r="G40" t="s">
        <v>25</v>
      </c>
      <c r="H40" t="s">
        <v>18</v>
      </c>
      <c r="I40">
        <v>1</v>
      </c>
      <c r="J40" t="s">
        <v>22</v>
      </c>
      <c r="K40" t="s">
        <v>17</v>
      </c>
      <c r="L40">
        <v>28</v>
      </c>
      <c r="M40" t="str">
        <v>Adolescence</v>
      </c>
      <c r="N40" t="s">
        <v>18</v>
      </c>
    </row>
    <row r="41" spans="1:14" x14ac:dyDescent="0.25">
      <c r="A41">
        <v>16259</v>
      </c>
      <c r="B41" t="s">
        <v>37</v>
      </c>
      <c r="C41" t="s">
        <v>39</v>
      </c>
      <c r="D41" s="3">
        <v>10000</v>
      </c>
      <c r="E41">
        <v>4</v>
      </c>
      <c r="F41" t="s">
        <v>29</v>
      </c>
      <c r="G41" t="s">
        <v>25</v>
      </c>
      <c r="H41" t="s">
        <v>15</v>
      </c>
      <c r="I41">
        <v>2</v>
      </c>
      <c r="J41" t="s">
        <v>16</v>
      </c>
      <c r="K41" t="s">
        <v>17</v>
      </c>
      <c r="L41">
        <v>40</v>
      </c>
      <c r="M41" t="str">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v>Old</v>
      </c>
      <c r="N43" t="s">
        <v>15</v>
      </c>
    </row>
    <row r="44" spans="1:14" x14ac:dyDescent="0.25">
      <c r="A44">
        <v>17703</v>
      </c>
      <c r="B44" t="s">
        <v>36</v>
      </c>
      <c r="C44" t="s">
        <v>39</v>
      </c>
      <c r="D44" s="3">
        <v>10000</v>
      </c>
      <c r="E44">
        <v>1</v>
      </c>
      <c r="F44" t="s">
        <v>31</v>
      </c>
      <c r="G44" t="s">
        <v>25</v>
      </c>
      <c r="H44" t="s">
        <v>15</v>
      </c>
      <c r="I44">
        <v>0</v>
      </c>
      <c r="J44" t="s">
        <v>16</v>
      </c>
      <c r="K44" t="s">
        <v>17</v>
      </c>
      <c r="L44">
        <v>40</v>
      </c>
      <c r="M44" t="str">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v>Old</v>
      </c>
      <c r="N47" t="s">
        <v>15</v>
      </c>
    </row>
    <row r="48" spans="1:14" x14ac:dyDescent="0.25">
      <c r="A48">
        <v>24466</v>
      </c>
      <c r="B48" t="s">
        <v>36</v>
      </c>
      <c r="C48" t="s">
        <v>39</v>
      </c>
      <c r="D48" s="3">
        <v>60000</v>
      </c>
      <c r="E48">
        <v>1</v>
      </c>
      <c r="F48" t="s">
        <v>19</v>
      </c>
      <c r="G48" t="s">
        <v>14</v>
      </c>
      <c r="H48" t="s">
        <v>15</v>
      </c>
      <c r="I48">
        <v>1</v>
      </c>
      <c r="J48" t="s">
        <v>23</v>
      </c>
      <c r="K48" t="s">
        <v>24</v>
      </c>
      <c r="L48">
        <v>46</v>
      </c>
      <c r="M48" t="str">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v>Adolescence</v>
      </c>
      <c r="N52" t="s">
        <v>18</v>
      </c>
    </row>
    <row r="53" spans="1:14" x14ac:dyDescent="0.25">
      <c r="A53">
        <v>20619</v>
      </c>
      <c r="B53" t="s">
        <v>37</v>
      </c>
      <c r="C53" t="s">
        <v>38</v>
      </c>
      <c r="D53" s="3">
        <v>80000</v>
      </c>
      <c r="E53">
        <v>0</v>
      </c>
      <c r="F53" t="s">
        <v>13</v>
      </c>
      <c r="G53" t="s">
        <v>21</v>
      </c>
      <c r="H53" t="s">
        <v>18</v>
      </c>
      <c r="I53">
        <v>4</v>
      </c>
      <c r="J53" t="s">
        <v>46</v>
      </c>
      <c r="K53" t="s">
        <v>24</v>
      </c>
      <c r="L53">
        <v>35</v>
      </c>
      <c r="M53" t="str">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v>Old</v>
      </c>
      <c r="N54" t="s">
        <v>18</v>
      </c>
    </row>
    <row r="55" spans="1:14" x14ac:dyDescent="0.25">
      <c r="A55">
        <v>24871</v>
      </c>
      <c r="B55" t="s">
        <v>37</v>
      </c>
      <c r="C55" t="s">
        <v>39</v>
      </c>
      <c r="D55" s="3">
        <v>90000</v>
      </c>
      <c r="E55">
        <v>4</v>
      </c>
      <c r="F55" t="s">
        <v>27</v>
      </c>
      <c r="G55" t="s">
        <v>28</v>
      </c>
      <c r="H55" t="s">
        <v>18</v>
      </c>
      <c r="I55">
        <v>3</v>
      </c>
      <c r="J55" t="s">
        <v>23</v>
      </c>
      <c r="K55" t="s">
        <v>17</v>
      </c>
      <c r="L55">
        <v>56</v>
      </c>
      <c r="M55" t="str">
        <v>Old</v>
      </c>
      <c r="N55" t="s">
        <v>18</v>
      </c>
    </row>
    <row r="56" spans="1:14" x14ac:dyDescent="0.25">
      <c r="A56">
        <v>17319</v>
      </c>
      <c r="B56" t="s">
        <v>37</v>
      </c>
      <c r="C56" t="s">
        <v>39</v>
      </c>
      <c r="D56" s="3">
        <v>70000</v>
      </c>
      <c r="E56">
        <v>0</v>
      </c>
      <c r="F56" t="s">
        <v>13</v>
      </c>
      <c r="G56" t="s">
        <v>21</v>
      </c>
      <c r="H56" t="s">
        <v>18</v>
      </c>
      <c r="I56">
        <v>1</v>
      </c>
      <c r="J56" t="s">
        <v>23</v>
      </c>
      <c r="K56" t="s">
        <v>24</v>
      </c>
      <c r="L56">
        <v>42</v>
      </c>
      <c r="M56" t="str">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v>Old</v>
      </c>
      <c r="N57" t="s">
        <v>18</v>
      </c>
    </row>
    <row r="58" spans="1:14" x14ac:dyDescent="0.25">
      <c r="A58">
        <v>12808</v>
      </c>
      <c r="B58" t="s">
        <v>36</v>
      </c>
      <c r="C58" t="s">
        <v>38</v>
      </c>
      <c r="D58" s="3">
        <v>40000</v>
      </c>
      <c r="E58">
        <v>0</v>
      </c>
      <c r="F58" t="s">
        <v>13</v>
      </c>
      <c r="G58" t="s">
        <v>20</v>
      </c>
      <c r="H58" t="s">
        <v>15</v>
      </c>
      <c r="I58">
        <v>0</v>
      </c>
      <c r="J58" t="s">
        <v>16</v>
      </c>
      <c r="K58" t="s">
        <v>17</v>
      </c>
      <c r="L58">
        <v>38</v>
      </c>
      <c r="M58" t="str">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v>Old</v>
      </c>
      <c r="N59" t="s">
        <v>15</v>
      </c>
    </row>
    <row r="60" spans="1:14" x14ac:dyDescent="0.25">
      <c r="A60">
        <v>25502</v>
      </c>
      <c r="B60" t="s">
        <v>36</v>
      </c>
      <c r="C60" t="s">
        <v>39</v>
      </c>
      <c r="D60" s="3">
        <v>40000</v>
      </c>
      <c r="E60">
        <v>1</v>
      </c>
      <c r="F60" t="s">
        <v>13</v>
      </c>
      <c r="G60" t="s">
        <v>14</v>
      </c>
      <c r="H60" t="s">
        <v>15</v>
      </c>
      <c r="I60">
        <v>0</v>
      </c>
      <c r="J60" t="s">
        <v>16</v>
      </c>
      <c r="K60" t="s">
        <v>17</v>
      </c>
      <c r="L60">
        <v>43</v>
      </c>
      <c r="M60" t="str">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v>Old</v>
      </c>
      <c r="N67" t="s">
        <v>18</v>
      </c>
    </row>
    <row r="68" spans="1:14" x14ac:dyDescent="0.25">
      <c r="A68">
        <v>29355</v>
      </c>
      <c r="B68" t="s">
        <v>36</v>
      </c>
      <c r="C68" t="s">
        <v>39</v>
      </c>
      <c r="D68" s="3">
        <v>40000</v>
      </c>
      <c r="E68">
        <v>0</v>
      </c>
      <c r="F68" t="s">
        <v>31</v>
      </c>
      <c r="G68" t="s">
        <v>20</v>
      </c>
      <c r="H68" t="s">
        <v>15</v>
      </c>
      <c r="I68">
        <v>0</v>
      </c>
      <c r="J68" t="s">
        <v>16</v>
      </c>
      <c r="K68" t="s">
        <v>17</v>
      </c>
      <c r="L68">
        <v>37</v>
      </c>
      <c r="M68" t="str">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v>Adolescence</v>
      </c>
      <c r="N71" t="s">
        <v>18</v>
      </c>
    </row>
    <row r="72" spans="1:14" x14ac:dyDescent="0.25">
      <c r="A72">
        <v>14238</v>
      </c>
      <c r="B72" t="s">
        <v>36</v>
      </c>
      <c r="C72" t="s">
        <v>38</v>
      </c>
      <c r="D72" s="3">
        <v>120000</v>
      </c>
      <c r="E72">
        <v>0</v>
      </c>
      <c r="F72" t="s">
        <v>29</v>
      </c>
      <c r="G72" t="s">
        <v>21</v>
      </c>
      <c r="H72" t="s">
        <v>15</v>
      </c>
      <c r="I72">
        <v>4</v>
      </c>
      <c r="J72" t="s">
        <v>46</v>
      </c>
      <c r="K72" t="s">
        <v>24</v>
      </c>
      <c r="L72">
        <v>36</v>
      </c>
      <c r="M72" t="str">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v>Old</v>
      </c>
      <c r="N76" t="s">
        <v>18</v>
      </c>
    </row>
    <row r="77" spans="1:14" x14ac:dyDescent="0.25">
      <c r="A77">
        <v>12678</v>
      </c>
      <c r="B77" t="s">
        <v>37</v>
      </c>
      <c r="C77" t="s">
        <v>39</v>
      </c>
      <c r="D77" s="3">
        <v>130000</v>
      </c>
      <c r="E77">
        <v>4</v>
      </c>
      <c r="F77" t="s">
        <v>27</v>
      </c>
      <c r="G77" t="s">
        <v>28</v>
      </c>
      <c r="H77" t="s">
        <v>15</v>
      </c>
      <c r="I77">
        <v>4</v>
      </c>
      <c r="J77" t="s">
        <v>16</v>
      </c>
      <c r="K77" t="s">
        <v>24</v>
      </c>
      <c r="L77">
        <v>31</v>
      </c>
      <c r="M77" t="str">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v>Adolescence</v>
      </c>
      <c r="N78" t="s">
        <v>18</v>
      </c>
    </row>
    <row r="79" spans="1:14" x14ac:dyDescent="0.25">
      <c r="A79">
        <v>27969</v>
      </c>
      <c r="B79" t="s">
        <v>36</v>
      </c>
      <c r="C79" t="s">
        <v>38</v>
      </c>
      <c r="D79" s="3">
        <v>80000</v>
      </c>
      <c r="E79">
        <v>0</v>
      </c>
      <c r="F79" t="s">
        <v>13</v>
      </c>
      <c r="G79" t="s">
        <v>21</v>
      </c>
      <c r="H79" t="s">
        <v>15</v>
      </c>
      <c r="I79">
        <v>2</v>
      </c>
      <c r="J79" t="s">
        <v>46</v>
      </c>
      <c r="K79" t="s">
        <v>24</v>
      </c>
      <c r="L79">
        <v>29</v>
      </c>
      <c r="M79" t="str">
        <v>Adolescence</v>
      </c>
      <c r="N79" t="s">
        <v>15</v>
      </c>
    </row>
    <row r="80" spans="1:14" x14ac:dyDescent="0.25">
      <c r="A80">
        <v>15752</v>
      </c>
      <c r="B80" t="s">
        <v>36</v>
      </c>
      <c r="C80" t="s">
        <v>38</v>
      </c>
      <c r="D80" s="3">
        <v>80000</v>
      </c>
      <c r="E80">
        <v>2</v>
      </c>
      <c r="F80" t="s">
        <v>27</v>
      </c>
      <c r="G80" t="s">
        <v>14</v>
      </c>
      <c r="H80" t="s">
        <v>18</v>
      </c>
      <c r="I80">
        <v>2</v>
      </c>
      <c r="J80" t="s">
        <v>26</v>
      </c>
      <c r="K80" t="s">
        <v>24</v>
      </c>
      <c r="L80">
        <v>50</v>
      </c>
      <c r="M80" t="str">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v>Old</v>
      </c>
      <c r="N81" t="s">
        <v>15</v>
      </c>
    </row>
    <row r="82" spans="1:14" x14ac:dyDescent="0.25">
      <c r="A82">
        <v>20828</v>
      </c>
      <c r="B82" t="s">
        <v>36</v>
      </c>
      <c r="C82" t="s">
        <v>39</v>
      </c>
      <c r="D82" s="3">
        <v>30000</v>
      </c>
      <c r="E82">
        <v>4</v>
      </c>
      <c r="F82" t="s">
        <v>31</v>
      </c>
      <c r="G82" t="s">
        <v>20</v>
      </c>
      <c r="H82" t="s">
        <v>15</v>
      </c>
      <c r="I82">
        <v>0</v>
      </c>
      <c r="J82" t="s">
        <v>16</v>
      </c>
      <c r="K82" t="s">
        <v>17</v>
      </c>
      <c r="L82">
        <v>45</v>
      </c>
      <c r="M82" t="str">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v>Adolescence</v>
      </c>
      <c r="N85" t="s">
        <v>18</v>
      </c>
    </row>
    <row r="86" spans="1:14" x14ac:dyDescent="0.25">
      <c r="A86">
        <v>24485</v>
      </c>
      <c r="B86" t="s">
        <v>37</v>
      </c>
      <c r="C86" t="s">
        <v>38</v>
      </c>
      <c r="D86" s="3">
        <v>40000</v>
      </c>
      <c r="E86">
        <v>2</v>
      </c>
      <c r="F86" t="s">
        <v>13</v>
      </c>
      <c r="G86" t="s">
        <v>28</v>
      </c>
      <c r="H86" t="s">
        <v>18</v>
      </c>
      <c r="I86">
        <v>1</v>
      </c>
      <c r="J86" t="s">
        <v>23</v>
      </c>
      <c r="K86" t="s">
        <v>24</v>
      </c>
      <c r="L86">
        <v>52</v>
      </c>
      <c r="M86" t="str">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v>Adolescence</v>
      </c>
      <c r="N87" t="s">
        <v>15</v>
      </c>
    </row>
    <row r="88" spans="1:14" x14ac:dyDescent="0.25">
      <c r="A88">
        <v>17191</v>
      </c>
      <c r="B88" t="s">
        <v>37</v>
      </c>
      <c r="C88" t="s">
        <v>38</v>
      </c>
      <c r="D88" s="3">
        <v>130000</v>
      </c>
      <c r="E88">
        <v>3</v>
      </c>
      <c r="F88" t="s">
        <v>19</v>
      </c>
      <c r="G88" t="s">
        <v>21</v>
      </c>
      <c r="H88" t="s">
        <v>18</v>
      </c>
      <c r="I88">
        <v>3</v>
      </c>
      <c r="J88" t="s">
        <v>16</v>
      </c>
      <c r="K88" t="s">
        <v>17</v>
      </c>
      <c r="L88">
        <v>51</v>
      </c>
      <c r="M88" t="str">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v>Adolescence</v>
      </c>
      <c r="N90" t="s">
        <v>18</v>
      </c>
    </row>
    <row r="91" spans="1:14" x14ac:dyDescent="0.25">
      <c r="A91">
        <v>25458</v>
      </c>
      <c r="B91" t="s">
        <v>36</v>
      </c>
      <c r="C91" t="s">
        <v>38</v>
      </c>
      <c r="D91" s="3">
        <v>20000</v>
      </c>
      <c r="E91">
        <v>1</v>
      </c>
      <c r="F91" t="s">
        <v>27</v>
      </c>
      <c r="G91" t="s">
        <v>25</v>
      </c>
      <c r="H91" t="s">
        <v>18</v>
      </c>
      <c r="I91">
        <v>1</v>
      </c>
      <c r="J91" t="s">
        <v>26</v>
      </c>
      <c r="K91" t="s">
        <v>17</v>
      </c>
      <c r="L91">
        <v>40</v>
      </c>
      <c r="M91" t="str">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v>Adolescence</v>
      </c>
      <c r="N92" t="s">
        <v>15</v>
      </c>
    </row>
    <row r="93" spans="1:14" x14ac:dyDescent="0.25">
      <c r="A93">
        <v>28436</v>
      </c>
      <c r="B93" t="s">
        <v>37</v>
      </c>
      <c r="C93" t="s">
        <v>38</v>
      </c>
      <c r="D93" s="3">
        <v>30000</v>
      </c>
      <c r="E93">
        <v>0</v>
      </c>
      <c r="F93" t="s">
        <v>19</v>
      </c>
      <c r="G93" t="s">
        <v>20</v>
      </c>
      <c r="H93" t="s">
        <v>18</v>
      </c>
      <c r="I93">
        <v>1</v>
      </c>
      <c r="J93" t="s">
        <v>16</v>
      </c>
      <c r="K93" t="s">
        <v>17</v>
      </c>
      <c r="L93">
        <v>30</v>
      </c>
      <c r="M93" t="str">
        <v>Adolescence</v>
      </c>
      <c r="N93" t="s">
        <v>15</v>
      </c>
    </row>
    <row r="94" spans="1:14" x14ac:dyDescent="0.25">
      <c r="A94">
        <v>19562</v>
      </c>
      <c r="B94" t="s">
        <v>37</v>
      </c>
      <c r="C94" t="s">
        <v>39</v>
      </c>
      <c r="D94" s="3">
        <v>60000</v>
      </c>
      <c r="E94">
        <v>2</v>
      </c>
      <c r="F94" t="s">
        <v>13</v>
      </c>
      <c r="G94" t="s">
        <v>21</v>
      </c>
      <c r="H94" t="s">
        <v>15</v>
      </c>
      <c r="I94">
        <v>1</v>
      </c>
      <c r="J94" t="s">
        <v>22</v>
      </c>
      <c r="K94" t="s">
        <v>24</v>
      </c>
      <c r="L94">
        <v>37</v>
      </c>
      <c r="M94" t="str">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v>Old</v>
      </c>
      <c r="N96" t="s">
        <v>18</v>
      </c>
    </row>
    <row r="97" spans="1:14" x14ac:dyDescent="0.25">
      <c r="A97">
        <v>17197</v>
      </c>
      <c r="B97" t="s">
        <v>37</v>
      </c>
      <c r="C97" t="s">
        <v>39</v>
      </c>
      <c r="D97" s="3">
        <v>90000</v>
      </c>
      <c r="E97">
        <v>5</v>
      </c>
      <c r="F97" t="s">
        <v>19</v>
      </c>
      <c r="G97" t="s">
        <v>21</v>
      </c>
      <c r="H97" t="s">
        <v>15</v>
      </c>
      <c r="I97">
        <v>2</v>
      </c>
      <c r="J97" t="s">
        <v>46</v>
      </c>
      <c r="K97" t="s">
        <v>17</v>
      </c>
      <c r="L97">
        <v>62</v>
      </c>
      <c r="M97" t="str">
        <v>Old</v>
      </c>
      <c r="N97" t="s">
        <v>18</v>
      </c>
    </row>
    <row r="98" spans="1:14" x14ac:dyDescent="0.25">
      <c r="A98">
        <v>12507</v>
      </c>
      <c r="B98" t="s">
        <v>36</v>
      </c>
      <c r="C98" t="s">
        <v>38</v>
      </c>
      <c r="D98" s="3">
        <v>30000</v>
      </c>
      <c r="E98">
        <v>1</v>
      </c>
      <c r="F98" t="s">
        <v>19</v>
      </c>
      <c r="G98" t="s">
        <v>20</v>
      </c>
      <c r="H98" t="s">
        <v>15</v>
      </c>
      <c r="I98">
        <v>1</v>
      </c>
      <c r="J98" t="s">
        <v>16</v>
      </c>
      <c r="K98" t="s">
        <v>17</v>
      </c>
      <c r="L98">
        <v>43</v>
      </c>
      <c r="M98" t="str">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v>Adolescence</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v>Adolescence</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v>Adolescence</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v>Adolescence</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v>Adolescence</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v>Adolescence</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v>Adolescence</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v>Old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v>Adolescence</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v>Adolescence</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v>Adolescence</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v>Adolescence</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v>Adolescence</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v>Adolescence</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v>Adolescence</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v>Adolescence</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v>Old</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v>Old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v>Adolescence</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v>Adolescence</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v>Adolescence</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v>Adolescence</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v>Adolescence</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v>Adolescence</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v>Adolescence</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v>Adolescence</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v>Adolescence</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v>Old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v>Old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v>Adolescence</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v>Old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v>Adolescence</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v>Adolescence</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v>Adolescence</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v>Adolescence</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v>Adolescence</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v>Adolescence</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v>Adolescence</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v>Adolescence</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v>Adolescence</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v>Adolescence</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v>Old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v>Adolescence</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v>Adolescence</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v>Adolescence</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v>Adolescence</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v>Adolescence</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v>Adolescence</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v>Adolescence</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v>Adolescence</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v>Adolescence</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v>Adolescence</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v>Adolescence</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v>Adolescence</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v>Old</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v>Adolescence</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v>Adolescence</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v>Old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v>Adolescence</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v>Adolescence</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v>Adolescence</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v>Adolescence</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v>Adolescence</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v>Adolescence</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v>Adolescence</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v>Adolescence</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v>Adolescence</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v>Adolescence</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v>Adolescence</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v>Adolescence</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v>Adolescence</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v>Adolescence</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v>Adolescence</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v>Adolescence</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v>Adolescence</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v>Adolescence</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v>Adolescence</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v>Adolescence</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v>Adolescence</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v>Adolescence</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v>Adolescence</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v>Adolescence</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v>Old</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v>Adolescence</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v>Adolescence</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v>Adolescence</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v>Adolescence</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v>Adolescence</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v>Adolescence</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v>Adolescence</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v>Adolescence</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v>Adolescence</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v>Adolescence</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v>Adolescence</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v>Adolescence</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v>Old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v>Adolescence</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v>Adolescence</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v>Adolescence</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v>Adolescence</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v>Adolescence</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v>Old</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v>Adolescence</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v>Adolescence</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v>Adolescence</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v>Old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v>Adolescence</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v>Adolescence</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v>Adolescence</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v>Adolescence</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v>Old</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v>Middle age</v>
      </c>
      <c r="N1001" t="s">
        <v>15</v>
      </c>
    </row>
  </sheetData>
  <autoFilter ref="A1:N1027" xr:uid="{BF8A03EF-3288-48B7-B5BC-BFA0DF964DF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EA6F-A9BE-4153-B6AA-C7668000ADC0}">
  <dimension ref="A1:R5"/>
  <sheetViews>
    <sheetView showGridLines="0" tabSelected="1" workbookViewId="0">
      <selection activeCell="U14" sqref="U14"/>
    </sheetView>
  </sheetViews>
  <sheetFormatPr defaultRowHeight="15" x14ac:dyDescent="0.25"/>
  <sheetData>
    <row r="1" spans="1:18" ht="15" customHeight="1" x14ac:dyDescent="0.25">
      <c r="A1" s="9" t="s">
        <v>50</v>
      </c>
      <c r="B1" s="8"/>
      <c r="C1" s="8"/>
      <c r="D1" s="8"/>
      <c r="E1" s="8"/>
      <c r="F1" s="8"/>
      <c r="G1" s="8"/>
      <c r="H1" s="8"/>
      <c r="I1" s="8"/>
      <c r="J1" s="8"/>
      <c r="K1" s="8"/>
      <c r="L1" s="8"/>
      <c r="M1" s="8"/>
      <c r="N1" s="8"/>
      <c r="O1" s="7"/>
      <c r="P1" s="7"/>
      <c r="Q1" s="7"/>
      <c r="R1" s="7"/>
    </row>
    <row r="2" spans="1:18" x14ac:dyDescent="0.25">
      <c r="A2" s="8"/>
      <c r="B2" s="8"/>
      <c r="C2" s="8"/>
      <c r="D2" s="8"/>
      <c r="E2" s="8"/>
      <c r="F2" s="8"/>
      <c r="G2" s="8"/>
      <c r="H2" s="8"/>
      <c r="I2" s="8"/>
      <c r="J2" s="8"/>
      <c r="K2" s="8"/>
      <c r="L2" s="8"/>
      <c r="M2" s="8"/>
      <c r="N2" s="8"/>
      <c r="O2" s="7"/>
      <c r="P2" s="7"/>
      <c r="Q2" s="7"/>
      <c r="R2" s="7"/>
    </row>
    <row r="3" spans="1:18" x14ac:dyDescent="0.25">
      <c r="A3" s="8"/>
      <c r="B3" s="8"/>
      <c r="C3" s="8"/>
      <c r="D3" s="8"/>
      <c r="E3" s="8"/>
      <c r="F3" s="8"/>
      <c r="G3" s="8"/>
      <c r="H3" s="8"/>
      <c r="I3" s="8"/>
      <c r="J3" s="8"/>
      <c r="K3" s="8"/>
      <c r="L3" s="8"/>
      <c r="M3" s="8"/>
      <c r="N3" s="8"/>
      <c r="O3" s="7"/>
      <c r="P3" s="7"/>
      <c r="Q3" s="7"/>
      <c r="R3" s="7"/>
    </row>
    <row r="4" spans="1:18" x14ac:dyDescent="0.25">
      <c r="A4" s="8"/>
      <c r="B4" s="8"/>
      <c r="C4" s="8"/>
      <c r="D4" s="8"/>
      <c r="E4" s="8"/>
      <c r="F4" s="8"/>
      <c r="G4" s="8"/>
      <c r="H4" s="8"/>
      <c r="I4" s="8"/>
      <c r="J4" s="8"/>
      <c r="K4" s="8"/>
      <c r="L4" s="8"/>
      <c r="M4" s="8"/>
      <c r="N4" s="8"/>
      <c r="O4" s="7"/>
      <c r="P4" s="7"/>
      <c r="Q4" s="7"/>
      <c r="R4" s="7"/>
    </row>
    <row r="5" spans="1:18" x14ac:dyDescent="0.25">
      <c r="A5" s="8"/>
      <c r="B5" s="8"/>
      <c r="C5" s="8"/>
      <c r="D5" s="8"/>
      <c r="E5" s="8"/>
      <c r="F5" s="8"/>
      <c r="G5" s="8"/>
      <c r="H5" s="8"/>
      <c r="I5" s="8"/>
      <c r="J5" s="8"/>
      <c r="K5" s="8"/>
      <c r="L5" s="8"/>
      <c r="M5" s="8"/>
      <c r="N5" s="8"/>
      <c r="O5" s="7"/>
      <c r="P5" s="7"/>
      <c r="Q5" s="7"/>
      <c r="R5" s="7"/>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C117-EA02-4B2D-8D7A-630E56D45317}">
  <dimension ref="A3:D43"/>
  <sheetViews>
    <sheetView workbookViewId="0">
      <selection activeCell="D38" sqref="D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44</v>
      </c>
      <c r="B3" s="4" t="s">
        <v>43</v>
      </c>
    </row>
    <row r="4" spans="1:4" x14ac:dyDescent="0.25">
      <c r="A4" s="4" t="s">
        <v>41</v>
      </c>
      <c r="B4" t="s">
        <v>18</v>
      </c>
      <c r="C4" t="s">
        <v>15</v>
      </c>
      <c r="D4" t="s">
        <v>42</v>
      </c>
    </row>
    <row r="5" spans="1:4" x14ac:dyDescent="0.25">
      <c r="A5" s="5" t="s">
        <v>39</v>
      </c>
      <c r="B5" s="3">
        <v>53440</v>
      </c>
      <c r="C5" s="3">
        <v>55774.058577405856</v>
      </c>
      <c r="D5" s="3">
        <v>54580.777096114522</v>
      </c>
    </row>
    <row r="6" spans="1:4" x14ac:dyDescent="0.25">
      <c r="A6" s="5" t="s">
        <v>38</v>
      </c>
      <c r="B6" s="3">
        <v>56208.178438661707</v>
      </c>
      <c r="C6" s="3">
        <v>60123.966942148763</v>
      </c>
      <c r="D6" s="3">
        <v>58062.62230919765</v>
      </c>
    </row>
    <row r="7" spans="1:4" x14ac:dyDescent="0.25">
      <c r="A7" s="5" t="s">
        <v>42</v>
      </c>
      <c r="B7" s="3">
        <v>54874.759152215796</v>
      </c>
      <c r="C7" s="3">
        <v>57962.577962577961</v>
      </c>
      <c r="D7" s="3">
        <v>56360</v>
      </c>
    </row>
    <row r="22" spans="1:4" x14ac:dyDescent="0.25">
      <c r="A22" s="4" t="s">
        <v>45</v>
      </c>
      <c r="B22" s="4" t="s">
        <v>43</v>
      </c>
    </row>
    <row r="23" spans="1:4" x14ac:dyDescent="0.25">
      <c r="A23" s="4" t="s">
        <v>41</v>
      </c>
      <c r="B23" t="s">
        <v>18</v>
      </c>
      <c r="C23" t="s">
        <v>15</v>
      </c>
      <c r="D23" t="s">
        <v>42</v>
      </c>
    </row>
    <row r="24" spans="1:4" x14ac:dyDescent="0.25">
      <c r="A24" s="5" t="s">
        <v>16</v>
      </c>
      <c r="B24" s="6">
        <v>166</v>
      </c>
      <c r="C24" s="6">
        <v>200</v>
      </c>
      <c r="D24" s="6">
        <v>366</v>
      </c>
    </row>
    <row r="25" spans="1:4" x14ac:dyDescent="0.25">
      <c r="A25" s="5" t="s">
        <v>26</v>
      </c>
      <c r="B25" s="6">
        <v>92</v>
      </c>
      <c r="C25" s="6">
        <v>77</v>
      </c>
      <c r="D25" s="6">
        <v>169</v>
      </c>
    </row>
    <row r="26" spans="1:4" x14ac:dyDescent="0.25">
      <c r="A26" s="5" t="s">
        <v>22</v>
      </c>
      <c r="B26" s="6">
        <v>67</v>
      </c>
      <c r="C26" s="6">
        <v>95</v>
      </c>
      <c r="D26" s="6">
        <v>162</v>
      </c>
    </row>
    <row r="27" spans="1:4" x14ac:dyDescent="0.25">
      <c r="A27" s="5" t="s">
        <v>23</v>
      </c>
      <c r="B27" s="6">
        <v>116</v>
      </c>
      <c r="C27" s="6">
        <v>76</v>
      </c>
      <c r="D27" s="6">
        <v>192</v>
      </c>
    </row>
    <row r="28" spans="1:4" x14ac:dyDescent="0.25">
      <c r="A28" s="5" t="s">
        <v>46</v>
      </c>
      <c r="B28" s="6">
        <v>78</v>
      </c>
      <c r="C28" s="6">
        <v>33</v>
      </c>
      <c r="D28" s="6">
        <v>111</v>
      </c>
    </row>
    <row r="29" spans="1:4" x14ac:dyDescent="0.25">
      <c r="A29" s="5" t="s">
        <v>42</v>
      </c>
      <c r="B29" s="6">
        <v>519</v>
      </c>
      <c r="C29" s="6">
        <v>481</v>
      </c>
      <c r="D29" s="6">
        <v>1000</v>
      </c>
    </row>
    <row r="38" spans="1:4" x14ac:dyDescent="0.25">
      <c r="A38" s="4" t="s">
        <v>45</v>
      </c>
      <c r="B38" s="4" t="s">
        <v>43</v>
      </c>
    </row>
    <row r="39" spans="1:4" x14ac:dyDescent="0.25">
      <c r="A39" s="4" t="s">
        <v>41</v>
      </c>
      <c r="B39" t="s">
        <v>18</v>
      </c>
      <c r="C39" t="s">
        <v>15</v>
      </c>
      <c r="D39" t="s">
        <v>42</v>
      </c>
    </row>
    <row r="40" spans="1:4" x14ac:dyDescent="0.25">
      <c r="A40" s="5" t="s">
        <v>47</v>
      </c>
      <c r="B40" s="6">
        <v>71</v>
      </c>
      <c r="C40" s="6">
        <v>39</v>
      </c>
      <c r="D40" s="6">
        <v>110</v>
      </c>
    </row>
    <row r="41" spans="1:4" x14ac:dyDescent="0.25">
      <c r="A41" s="5" t="s">
        <v>48</v>
      </c>
      <c r="B41" s="6">
        <v>313</v>
      </c>
      <c r="C41" s="6">
        <v>372</v>
      </c>
      <c r="D41" s="6">
        <v>685</v>
      </c>
    </row>
    <row r="42" spans="1:4" x14ac:dyDescent="0.25">
      <c r="A42" s="5" t="s">
        <v>49</v>
      </c>
      <c r="B42" s="6">
        <v>135</v>
      </c>
      <c r="C42" s="6">
        <v>70</v>
      </c>
      <c r="D42" s="6">
        <v>205</v>
      </c>
    </row>
    <row r="43" spans="1:4" x14ac:dyDescent="0.25">
      <c r="A43" s="5" t="s">
        <v>42</v>
      </c>
      <c r="B43" s="6">
        <v>519</v>
      </c>
      <c r="C43" s="6">
        <v>481</v>
      </c>
      <c r="D43"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Omphile</dc:creator>
  <cp:lastModifiedBy>omphile nakedi</cp:lastModifiedBy>
  <dcterms:created xsi:type="dcterms:W3CDTF">2022-03-18T02:50:57Z</dcterms:created>
  <dcterms:modified xsi:type="dcterms:W3CDTF">2026-01-22T12:44:01Z</dcterms:modified>
</cp:coreProperties>
</file>